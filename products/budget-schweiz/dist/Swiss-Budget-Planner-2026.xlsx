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Budget" sheetId="2" state="visible" r:id="rId2"/>
    <sheet name="Annual overview" sheetId="3" state="visible" r:id="rId3"/>
    <sheet name="Emergency fund" sheetId="4" state="visible" r:id="rId4"/>
    <sheet name="Pillar 3a" sheetId="5" state="visible" r:id="rId5"/>
    <sheet name="Tax reserv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CHF &quot;#,##0.00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D52B1E"/>
      <sz val="18"/>
    </font>
    <font>
      <i val="1"/>
      <color rgb="006B7280"/>
    </font>
    <font>
      <b val="1"/>
      <color rgb="001F2937"/>
      <sz val="13"/>
    </font>
    <font>
      <b val="1"/>
      <color rgb="00D52B1E"/>
    </font>
    <font>
      <b val="1"/>
      <color rgb="00FFFFFF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DECEA"/>
        <bgColor rgb="00FDECEA"/>
      </patternFill>
    </fill>
    <fill>
      <patternFill patternType="solid">
        <fgColor rgb="00FFF7D6"/>
        <bgColor rgb="00FFF7D6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4" fillId="3" borderId="0" pivotButton="0" quotePrefix="0" xfId="0"/>
    <xf numFmtId="0" fontId="0" fillId="3" borderId="0" pivotButton="0" quotePrefix="0" xfId="0"/>
    <xf numFmtId="0" fontId="0" fillId="0" borderId="1" pivotButton="0" quotePrefix="0" xfId="0"/>
    <xf numFmtId="164" fontId="0" fillId="4" borderId="1" pivotButton="0" quotePrefix="0" xfId="0"/>
    <xf numFmtId="164" fontId="0" fillId="0" borderId="1" pivotButton="0" quotePrefix="0" xfId="0"/>
    <xf numFmtId="0" fontId="6" fillId="0" borderId="0" pivotButton="0" quotePrefix="0" xfId="0"/>
    <xf numFmtId="164" fontId="6" fillId="5" borderId="1" pivotButton="0" quotePrefix="0" xfId="0"/>
    <xf numFmtId="165" fontId="6" fillId="5" borderId="1" pivotButton="0" quotePrefix="0" xfId="0"/>
    <xf numFmtId="0" fontId="7" fillId="0" borderId="0" pivotButton="0" quotePrefix="0" xfId="0"/>
    <xf numFmtId="164" fontId="7" fillId="5" borderId="1" pivotButton="0" quotePrefix="0" xfId="0"/>
    <xf numFmtId="0" fontId="5" fillId="2" borderId="0" pivotButton="0" quotePrefix="0" xfId="0"/>
    <xf numFmtId="165" fontId="0" fillId="0" borderId="1" pivotButton="0" quotePrefix="0" xfId="0"/>
    <xf numFmtId="164" fontId="6" fillId="0" borderId="0" pivotButton="0" quotePrefix="0" xfId="0"/>
    <xf numFmtId="165" fontId="6" fillId="0" borderId="0" pivotButton="0" quotePrefix="0" xfId="0"/>
    <xf numFmtId="1" fontId="6" fillId="5" borderId="1" pivotButton="0" quotePrefix="0" xfId="0"/>
    <xf numFmtId="1" fontId="0" fillId="4" borderId="1" pivotButton="0" quotePrefix="0" xfId="0"/>
  </cellXfs>
  <cellStyles count="1">
    <cellStyle name="Normal" xfId="0" builtinId="0" hidden="0"/>
  </cellStyles>
  <dxfs count="2">
    <dxf>
      <font>
        <b val="1"/>
        <color rgb="00B91C1C"/>
      </font>
    </dxf>
    <dxf>
      <font>
        <b val="1"/>
        <color rgb="0015803D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Income vs.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'Annual overview'!B4</f>
            </strRef>
          </tx>
          <spPr>
            <a:ln>
              <a:prstDash val="solid"/>
            </a:ln>
          </spPr>
          <cat>
            <numRef>
              <f>'Annual overview'!$A$5:$A$16</f>
            </numRef>
          </cat>
          <val>
            <numRef>
              <f>'Annual overview'!$B$5:$B$16</f>
            </numRef>
          </val>
        </ser>
        <ser>
          <idx val="1"/>
          <order val="1"/>
          <tx>
            <strRef>
              <f>'Annual overview'!C4</f>
            </strRef>
          </tx>
          <spPr>
            <a:ln>
              <a:prstDash val="solid"/>
            </a:ln>
          </spPr>
          <cat>
            <numRef>
              <f>'Annual overview'!$A$5:$A$16</f>
            </numRef>
          </cat>
          <val>
            <numRef>
              <f>'Annual overview'!$C$5:$C$16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CHF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52B1E"/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2" customWidth="1" min="1" max="1"/>
    <col width="100" customWidth="1" min="2" max="2"/>
  </cols>
  <sheetData>
    <row r="1">
      <c r="A1" s="1" t="inlineStr">
        <is>
          <t>Swiss Budget Planner 2026</t>
        </is>
      </c>
    </row>
    <row r="2">
      <c r="A2" s="2" t="inlineStr">
        <is>
          <t>Excel &amp; Google Sheets · in CHF · for singles, couples and families</t>
        </is>
      </c>
    </row>
    <row r="3"/>
    <row r="4">
      <c r="A4" s="3" t="inlineStr">
        <is>
          <t>How it works</t>
        </is>
      </c>
    </row>
    <row r="5">
      <c r="A5" s="4" t="inlineStr">
        <is>
          <t>1.</t>
        </is>
      </c>
      <c r="B5" t="inlineStr">
        <is>
          <t>«Budget» sheet: enter your planned monthly budget in column B.</t>
        </is>
      </c>
    </row>
    <row r="6">
      <c r="A6" s="4" t="inlineStr">
        <is>
          <t>2.</t>
        </is>
      </c>
      <c r="B6" t="inlineStr">
        <is>
          <t>Each month, enter your actual amounts in that month's column (yellow cells).</t>
        </is>
      </c>
    </row>
    <row r="7">
      <c r="A7" s="4" t="inlineStr">
        <is>
          <t>3.</t>
        </is>
      </c>
      <c r="B7" t="inlineStr">
        <is>
          <t>Balance, savings rate and deviations are calculated automatically – red = over budget.</t>
        </is>
      </c>
    </row>
    <row r="8">
      <c r="A8" s="4" t="inlineStr">
        <is>
          <t>4.</t>
        </is>
      </c>
      <c r="B8" t="inlineStr">
        <is>
          <t>«Annual overview» charts income vs. expenses.</t>
        </is>
      </c>
    </row>
    <row r="9">
      <c r="A9" s="4" t="inlineStr">
        <is>
          <t>5.</t>
        </is>
      </c>
      <c r="B9" t="inlineStr">
        <is>
          <t>«Emergency fund», «Pillar 3a» and «Tax reserve» help you build reserves.</t>
        </is>
      </c>
    </row>
    <row r="10">
      <c r="A10" s="4" t="inlineStr"/>
      <c r="B10" t="inlineStr"/>
    </row>
    <row r="11">
      <c r="A11" s="3" t="inlineStr">
        <is>
          <t>Tips</t>
        </is>
      </c>
    </row>
    <row r="12">
      <c r="A12" s="4" t="inlineStr">
        <is>
          <t>•</t>
        </is>
      </c>
      <c r="B12" t="inlineStr">
        <is>
          <t>Rename categories freely – the formulas keep working.</t>
        </is>
      </c>
    </row>
    <row r="13">
      <c r="A13" s="4" t="inlineStr">
        <is>
          <t>•</t>
        </is>
      </c>
      <c r="B13" t="inlineStr">
        <is>
          <t>Divide annual bills (e.g. Serafe, insurance) by 12 and set the amount aside monthly.</t>
        </is>
      </c>
    </row>
    <row r="14">
      <c r="A14" s="4" t="inlineStr">
        <is>
          <t>•</t>
        </is>
      </c>
      <c r="B14" t="inlineStr">
        <is>
          <t>Google Sheets: File → Import → Upload. Everything works without macros.</t>
        </is>
      </c>
    </row>
    <row r="15">
      <c r="A15" s="4" t="inlineStr"/>
      <c r="B15" t="inlineStr"/>
    </row>
    <row r="16">
      <c r="A16" s="3" t="inlineStr">
        <is>
          <t>Note</t>
        </is>
      </c>
    </row>
    <row r="17">
      <c r="A17" s="4" t="inlineStr"/>
      <c r="B17" t="inlineStr">
        <is>
          <t>This template is a planning tool, not tax or financial advice.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52B1E"/>
    <outlinePr summaryBelow="1" summaryRight="1"/>
    <pageSetUpPr/>
  </sheetPr>
  <dimension ref="A1:Q5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4" customWidth="1" min="15" max="15"/>
    <col width="12.5" customWidth="1" min="16" max="16"/>
    <col width="12.5" customWidth="1" min="17" max="17"/>
  </cols>
  <sheetData>
    <row r="1">
      <c r="A1" s="1" t="inlineStr">
        <is>
          <t>Swiss Budget Planner 2026</t>
        </is>
      </c>
    </row>
    <row r="2">
      <c r="A2" s="2" t="inlineStr">
        <is>
          <t>Fill in the yellow cells – everything else is calculated automatically.</t>
        </is>
      </c>
    </row>
    <row r="3"/>
    <row r="4" ht="30" customHeight="1">
      <c r="A4" s="5" t="inlineStr">
        <is>
          <t>Category</t>
        </is>
      </c>
      <c r="B4" s="5" t="inlineStr">
        <is>
          <t>Budget / month</t>
        </is>
      </c>
      <c r="C4" s="5" t="inlineStr">
        <is>
          <t>Jan</t>
        </is>
      </c>
      <c r="D4" s="5" t="inlineStr">
        <is>
          <t>Feb</t>
        </is>
      </c>
      <c r="E4" s="5" t="inlineStr">
        <is>
          <t>Mar</t>
        </is>
      </c>
      <c r="F4" s="5" t="inlineStr">
        <is>
          <t>Apr</t>
        </is>
      </c>
      <c r="G4" s="5" t="inlineStr">
        <is>
          <t>May</t>
        </is>
      </c>
      <c r="H4" s="5" t="inlineStr">
        <is>
          <t>Jun</t>
        </is>
      </c>
      <c r="I4" s="5" t="inlineStr">
        <is>
          <t>Jul</t>
        </is>
      </c>
      <c r="J4" s="5" t="inlineStr">
        <is>
          <t>Aug</t>
        </is>
      </c>
      <c r="K4" s="5" t="inlineStr">
        <is>
          <t>Sep</t>
        </is>
      </c>
      <c r="L4" s="5" t="inlineStr">
        <is>
          <t>Oct</t>
        </is>
      </c>
      <c r="M4" s="5" t="inlineStr">
        <is>
          <t>Nov</t>
        </is>
      </c>
      <c r="N4" s="5" t="inlineStr">
        <is>
          <t>Dec</t>
        </is>
      </c>
      <c r="O4" s="5" t="inlineStr">
        <is>
          <t>Year total</t>
        </is>
      </c>
      <c r="P4" s="5" t="inlineStr">
        <is>
          <t>Ø month</t>
        </is>
      </c>
      <c r="Q4" s="5" t="inlineStr">
        <is>
          <t>Ø vs. budget</t>
        </is>
      </c>
    </row>
    <row r="5">
      <c r="A5" s="6" t="inlineStr">
        <is>
          <t>INCOME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</row>
    <row r="6">
      <c r="A6" s="8" t="inlineStr">
        <is>
          <t>Net salary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10">
        <f>SUM(C6:N6)</f>
        <v/>
      </c>
      <c r="P6" s="10">
        <f>IFERROR(AVERAGE(C6:N6),0)</f>
        <v/>
      </c>
      <c r="Q6" s="10">
        <f>P6-B6</f>
        <v/>
      </c>
    </row>
    <row r="7">
      <c r="A7" s="8" t="inlineStr">
        <is>
          <t>13th month salary / bonus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10">
        <f>SUM(C7:N7)</f>
        <v/>
      </c>
      <c r="P7" s="10">
        <f>IFERROR(AVERAGE(C7:N7),0)</f>
        <v/>
      </c>
      <c r="Q7" s="10">
        <f>P7-B7</f>
        <v/>
      </c>
    </row>
    <row r="8">
      <c r="A8" s="8" t="inlineStr">
        <is>
          <t>Side income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10">
        <f>SUM(C8:N8)</f>
        <v/>
      </c>
      <c r="P8" s="10">
        <f>IFERROR(AVERAGE(C8:N8),0)</f>
        <v/>
      </c>
      <c r="Q8" s="10">
        <f>P8-B8</f>
        <v/>
      </c>
    </row>
    <row r="9">
      <c r="A9" s="8" t="inlineStr">
        <is>
          <t>Child / family allowances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10">
        <f>SUM(C9:N9)</f>
        <v/>
      </c>
      <c r="P9" s="10">
        <f>IFERROR(AVERAGE(C9:N9),0)</f>
        <v/>
      </c>
      <c r="Q9" s="10">
        <f>P9-B9</f>
        <v/>
      </c>
    </row>
    <row r="10">
      <c r="A10" s="8" t="inlineStr">
        <is>
          <t>Other income</t>
        </is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10">
        <f>SUM(C10:N10)</f>
        <v/>
      </c>
      <c r="P10" s="10">
        <f>IFERROR(AVERAGE(C10:N10),0)</f>
        <v/>
      </c>
      <c r="Q10" s="10">
        <f>P10-B10</f>
        <v/>
      </c>
    </row>
    <row r="11">
      <c r="A11" s="6" t="inlineStr">
        <is>
          <t>EXPENSES – HOUSING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</row>
    <row r="12">
      <c r="A12" s="8" t="inlineStr">
        <is>
          <t>Rent / mortgage interest</t>
        </is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10">
        <f>SUM(C12:N12)</f>
        <v/>
      </c>
      <c r="P12" s="10">
        <f>IFERROR(AVERAGE(C12:N12),0)</f>
        <v/>
      </c>
      <c r="Q12" s="10">
        <f>P12-B12</f>
        <v/>
      </c>
    </row>
    <row r="13">
      <c r="A13" s="8" t="inlineStr">
        <is>
          <t>Service charges (Nebenkosten)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10">
        <f>SUM(C13:N13)</f>
        <v/>
      </c>
      <c r="P13" s="10">
        <f>IFERROR(AVERAGE(C13:N13),0)</f>
        <v/>
      </c>
      <c r="Q13" s="10">
        <f>P13-B13</f>
        <v/>
      </c>
    </row>
    <row r="14">
      <c r="A14" s="8" t="inlineStr">
        <is>
          <t>Electricity</t>
        </is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10">
        <f>SUM(C14:N14)</f>
        <v/>
      </c>
      <c r="P14" s="10">
        <f>IFERROR(AVERAGE(C14:N14),0)</f>
        <v/>
      </c>
      <c r="Q14" s="10">
        <f>P14-B14</f>
        <v/>
      </c>
    </row>
    <row r="15">
      <c r="A15" s="8" t="inlineStr">
        <is>
          <t>Internet &amp; mobile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10">
        <f>SUM(C15:N15)</f>
        <v/>
      </c>
      <c r="P15" s="10">
        <f>IFERROR(AVERAGE(C15:N15),0)</f>
        <v/>
      </c>
      <c r="Q15" s="10">
        <f>P15-B15</f>
        <v/>
      </c>
    </row>
    <row r="16">
      <c r="A16" s="8" t="inlineStr">
        <is>
          <t>Serafe (radio/TV fee)</t>
        </is>
      </c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10">
        <f>SUM(C16:N16)</f>
        <v/>
      </c>
      <c r="P16" s="10">
        <f>IFERROR(AVERAGE(C16:N16),0)</f>
        <v/>
      </c>
      <c r="Q16" s="10">
        <f>P16-B16</f>
        <v/>
      </c>
    </row>
    <row r="17">
      <c r="A17" s="8" t="inlineStr">
        <is>
          <t>Household contents &amp; liability insurance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10">
        <f>SUM(C17:N17)</f>
        <v/>
      </c>
      <c r="P17" s="10">
        <f>IFERROR(AVERAGE(C17:N17),0)</f>
        <v/>
      </c>
      <c r="Q17" s="10">
        <f>P17-B17</f>
        <v/>
      </c>
    </row>
    <row r="18">
      <c r="A18" s="6" t="inlineStr">
        <is>
          <t>EXPENSES – HEALTH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</row>
    <row r="19">
      <c r="A19" s="8" t="inlineStr">
        <is>
          <t>Health insurance (basic / LAMal)</t>
        </is>
      </c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10">
        <f>SUM(C19:N19)</f>
        <v/>
      </c>
      <c r="P19" s="10">
        <f>IFERROR(AVERAGE(C19:N19),0)</f>
        <v/>
      </c>
      <c r="Q19" s="10">
        <f>P19-B19</f>
        <v/>
      </c>
    </row>
    <row r="20">
      <c r="A20" s="8" t="inlineStr">
        <is>
          <t>Supplementary insurance</t>
        </is>
      </c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10">
        <f>SUM(C20:N20)</f>
        <v/>
      </c>
      <c r="P20" s="10">
        <f>IFERROR(AVERAGE(C20:N20),0)</f>
        <v/>
      </c>
      <c r="Q20" s="10">
        <f>P20-B20</f>
        <v/>
      </c>
    </row>
    <row r="21">
      <c r="A21" s="8" t="inlineStr">
        <is>
          <t>Deductible (franchise) &amp; co-pay</t>
        </is>
      </c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10">
        <f>SUM(C21:N21)</f>
        <v/>
      </c>
      <c r="P21" s="10">
        <f>IFERROR(AVERAGE(C21:N21),0)</f>
        <v/>
      </c>
      <c r="Q21" s="10">
        <f>P21-B21</f>
        <v/>
      </c>
    </row>
    <row r="22">
      <c r="A22" s="8" t="inlineStr">
        <is>
          <t>Dentist / optician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10">
        <f>SUM(C22:N22)</f>
        <v/>
      </c>
      <c r="P22" s="10">
        <f>IFERROR(AVERAGE(C22:N22),0)</f>
        <v/>
      </c>
      <c r="Q22" s="10">
        <f>P22-B22</f>
        <v/>
      </c>
    </row>
    <row r="23">
      <c r="A23" s="6" t="inlineStr">
        <is>
          <t>EXPENSES – TRANSPORT</t>
        </is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</row>
    <row r="24">
      <c r="A24" s="8" t="inlineStr">
        <is>
          <t>Public transport (GA / Half Fare / pass)</t>
        </is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10">
        <f>SUM(C24:N24)</f>
        <v/>
      </c>
      <c r="P24" s="10">
        <f>IFERROR(AVERAGE(C24:N24),0)</f>
        <v/>
      </c>
      <c r="Q24" s="10">
        <f>P24-B24</f>
        <v/>
      </c>
    </row>
    <row r="25">
      <c r="A25" s="8" t="inlineStr">
        <is>
          <t>Car: fuel / charging</t>
        </is>
      </c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10">
        <f>SUM(C25:N25)</f>
        <v/>
      </c>
      <c r="P25" s="10">
        <f>IFERROR(AVERAGE(C25:N25),0)</f>
        <v/>
      </c>
      <c r="Q25" s="10">
        <f>P25-B25</f>
        <v/>
      </c>
    </row>
    <row r="26">
      <c r="A26" s="8" t="inlineStr">
        <is>
          <t>Car: insurance &amp; tax</t>
        </is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10">
        <f>SUM(C26:N26)</f>
        <v/>
      </c>
      <c r="P26" s="10">
        <f>IFERROR(AVERAGE(C26:N26),0)</f>
        <v/>
      </c>
      <c r="Q26" s="10">
        <f>P26-B26</f>
        <v/>
      </c>
    </row>
    <row r="27">
      <c r="A27" s="8" t="inlineStr">
        <is>
          <t>Car: leasing / service</t>
        </is>
      </c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10">
        <f>SUM(C27:N27)</f>
        <v/>
      </c>
      <c r="P27" s="10">
        <f>IFERROR(AVERAGE(C27:N27),0)</f>
        <v/>
      </c>
      <c r="Q27" s="10">
        <f>P27-B27</f>
        <v/>
      </c>
    </row>
    <row r="28">
      <c r="A28" s="8" t="inlineStr">
        <is>
          <t>Parking / bike</t>
        </is>
      </c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10">
        <f>SUM(C28:N28)</f>
        <v/>
      </c>
      <c r="P28" s="10">
        <f>IFERROR(AVERAGE(C28:N28),0)</f>
        <v/>
      </c>
      <c r="Q28" s="10">
        <f>P28-B28</f>
        <v/>
      </c>
    </row>
    <row r="29">
      <c r="A29" s="6" t="inlineStr">
        <is>
          <t>EXPENSES – TAXES</t>
        </is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</row>
    <row r="30">
      <c r="A30" s="8" t="inlineStr">
        <is>
          <t>Tax reserve</t>
        </is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10">
        <f>SUM(C30:N30)</f>
        <v/>
      </c>
      <c r="P30" s="10">
        <f>IFERROR(AVERAGE(C30:N30),0)</f>
        <v/>
      </c>
      <c r="Q30" s="10">
        <f>P30-B30</f>
        <v/>
      </c>
    </row>
    <row r="31">
      <c r="A31" s="6" t="inlineStr">
        <is>
          <t>EXPENSES – PENSION &amp; SAVINGS</t>
        </is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</row>
    <row r="32">
      <c r="A32" s="8" t="inlineStr">
        <is>
          <t>Pillar 3a</t>
        </is>
      </c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10">
        <f>SUM(C32:N32)</f>
        <v/>
      </c>
      <c r="P32" s="10">
        <f>IFERROR(AVERAGE(C32:N32),0)</f>
        <v/>
      </c>
      <c r="Q32" s="10">
        <f>P32-B32</f>
        <v/>
      </c>
    </row>
    <row r="33">
      <c r="A33" s="8" t="inlineStr">
        <is>
          <t>Savings / emergency fund</t>
        </is>
      </c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10">
        <f>SUM(C33:N33)</f>
        <v/>
      </c>
      <c r="P33" s="10">
        <f>IFERROR(AVERAGE(C33:N33),0)</f>
        <v/>
      </c>
      <c r="Q33" s="10">
        <f>P33-B33</f>
        <v/>
      </c>
    </row>
    <row r="34">
      <c r="A34" s="8" t="inlineStr">
        <is>
          <t>Investing (ETFs etc.)</t>
        </is>
      </c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10">
        <f>SUM(C34:N34)</f>
        <v/>
      </c>
      <c r="P34" s="10">
        <f>IFERROR(AVERAGE(C34:N34),0)</f>
        <v/>
      </c>
      <c r="Q34" s="10">
        <f>P34-B34</f>
        <v/>
      </c>
    </row>
    <row r="35">
      <c r="A35" s="6" t="inlineStr">
        <is>
          <t>EXPENSES – EVERYDAY</t>
        </is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</row>
    <row r="36">
      <c r="A36" s="8" t="inlineStr">
        <is>
          <t>Groceries</t>
        </is>
      </c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10">
        <f>SUM(C36:N36)</f>
        <v/>
      </c>
      <c r="P36" s="10">
        <f>IFERROR(AVERAGE(C36:N36),0)</f>
        <v/>
      </c>
      <c r="Q36" s="10">
        <f>P36-B36</f>
        <v/>
      </c>
    </row>
    <row r="37">
      <c r="A37" s="8" t="inlineStr">
        <is>
          <t>Toiletries &amp; household</t>
        </is>
      </c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10">
        <f>SUM(C37:N37)</f>
        <v/>
      </c>
      <c r="P37" s="10">
        <f>IFERROR(AVERAGE(C37:N37),0)</f>
        <v/>
      </c>
      <c r="Q37" s="10">
        <f>P37-B37</f>
        <v/>
      </c>
    </row>
    <row r="38">
      <c r="A38" s="8" t="inlineStr">
        <is>
          <t>Clothing</t>
        </is>
      </c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10">
        <f>SUM(C38:N38)</f>
        <v/>
      </c>
      <c r="P38" s="10">
        <f>IFERROR(AVERAGE(C38:N38),0)</f>
        <v/>
      </c>
      <c r="Q38" s="10">
        <f>P38-B38</f>
        <v/>
      </c>
    </row>
    <row r="39">
      <c r="A39" s="8" t="inlineStr">
        <is>
          <t>Eating out</t>
        </is>
      </c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10">
        <f>SUM(C39:N39)</f>
        <v/>
      </c>
      <c r="P39" s="10">
        <f>IFERROR(AVERAGE(C39:N39),0)</f>
        <v/>
      </c>
      <c r="Q39" s="10">
        <f>P39-B39</f>
        <v/>
      </c>
    </row>
    <row r="40">
      <c r="A40" s="8" t="inlineStr">
        <is>
          <t>Children / childcare</t>
        </is>
      </c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10">
        <f>SUM(C40:N40)</f>
        <v/>
      </c>
      <c r="P40" s="10">
        <f>IFERROR(AVERAGE(C40:N40),0)</f>
        <v/>
      </c>
      <c r="Q40" s="10">
        <f>P40-B40</f>
        <v/>
      </c>
    </row>
    <row r="41">
      <c r="A41" s="8" t="inlineStr">
        <is>
          <t>Pets</t>
        </is>
      </c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10">
        <f>SUM(C41:N41)</f>
        <v/>
      </c>
      <c r="P41" s="10">
        <f>IFERROR(AVERAGE(C41:N41),0)</f>
        <v/>
      </c>
      <c r="Q41" s="10">
        <f>P41-B41</f>
        <v/>
      </c>
    </row>
    <row r="42">
      <c r="A42" s="6" t="inlineStr">
        <is>
          <t>EXPENSES – LEISURE</t>
        </is>
      </c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</row>
    <row r="43">
      <c r="A43" s="8" t="inlineStr">
        <is>
          <t>Hobbies &amp; sport</t>
        </is>
      </c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10">
        <f>SUM(C43:N43)</f>
        <v/>
      </c>
      <c r="P43" s="10">
        <f>IFERROR(AVERAGE(C43:N43),0)</f>
        <v/>
      </c>
      <c r="Q43" s="10">
        <f>P43-B43</f>
        <v/>
      </c>
    </row>
    <row r="44">
      <c r="A44" s="8" t="inlineStr">
        <is>
          <t>Holidays &amp; travel</t>
        </is>
      </c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10">
        <f>SUM(C44:N44)</f>
        <v/>
      </c>
      <c r="P44" s="10">
        <f>IFERROR(AVERAGE(C44:N44),0)</f>
        <v/>
      </c>
      <c r="Q44" s="10">
        <f>P44-B44</f>
        <v/>
      </c>
    </row>
    <row r="45">
      <c r="A45" s="8" t="inlineStr">
        <is>
          <t>Subscriptions (streaming, apps)</t>
        </is>
      </c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10">
        <f>SUM(C45:N45)</f>
        <v/>
      </c>
      <c r="P45" s="10">
        <f>IFERROR(AVERAGE(C45:N45),0)</f>
        <v/>
      </c>
      <c r="Q45" s="10">
        <f>P45-B45</f>
        <v/>
      </c>
    </row>
    <row r="46">
      <c r="A46" s="8" t="inlineStr">
        <is>
          <t>Gifts &amp; donations</t>
        </is>
      </c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10">
        <f>SUM(C46:N46)</f>
        <v/>
      </c>
      <c r="P46" s="10">
        <f>IFERROR(AVERAGE(C46:N46),0)</f>
        <v/>
      </c>
      <c r="Q46" s="10">
        <f>P46-B46</f>
        <v/>
      </c>
    </row>
    <row r="47">
      <c r="A47" s="8" t="inlineStr">
        <is>
          <t>Miscellaneous</t>
        </is>
      </c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10">
        <f>SUM(C47:N47)</f>
        <v/>
      </c>
      <c r="P47" s="10">
        <f>IFERROR(AVERAGE(C47:N47),0)</f>
        <v/>
      </c>
      <c r="Q47" s="10">
        <f>P47-B47</f>
        <v/>
      </c>
    </row>
    <row r="48"/>
    <row r="49">
      <c r="A49" s="11" t="inlineStr">
        <is>
          <t>Total income</t>
        </is>
      </c>
      <c r="B49" s="12">
        <f>SUM(B6:B10)</f>
        <v/>
      </c>
      <c r="C49" s="12">
        <f>SUM(C6:C10)</f>
        <v/>
      </c>
      <c r="D49" s="12">
        <f>SUM(D6:D10)</f>
        <v/>
      </c>
      <c r="E49" s="12">
        <f>SUM(E6:E10)</f>
        <v/>
      </c>
      <c r="F49" s="12">
        <f>SUM(F6:F10)</f>
        <v/>
      </c>
      <c r="G49" s="12">
        <f>SUM(G6:G10)</f>
        <v/>
      </c>
      <c r="H49" s="12">
        <f>SUM(H6:H10)</f>
        <v/>
      </c>
      <c r="I49" s="12">
        <f>SUM(I6:I10)</f>
        <v/>
      </c>
      <c r="J49" s="12">
        <f>SUM(J6:J10)</f>
        <v/>
      </c>
      <c r="K49" s="12">
        <f>SUM(K6:K10)</f>
        <v/>
      </c>
      <c r="L49" s="12">
        <f>SUM(L6:L10)</f>
        <v/>
      </c>
      <c r="M49" s="12">
        <f>SUM(M6:M10)</f>
        <v/>
      </c>
      <c r="N49" s="12">
        <f>SUM(N6:N10)</f>
        <v/>
      </c>
      <c r="O49" s="12">
        <f>SUM(O6:O10)</f>
        <v/>
      </c>
      <c r="P49" s="12">
        <f>SUM(P6:P10)</f>
        <v/>
      </c>
    </row>
    <row r="50">
      <c r="A50" s="11" t="inlineStr">
        <is>
          <t>Total expenses (incl. savings)</t>
        </is>
      </c>
      <c r="B50" s="12">
        <f>SUM(B12:B17)+SUM(B19:B22)+SUM(B24:B28)+SUM(B30:B30)+SUM(B32:B34)+SUM(B36:B41)+SUM(B43:B47)</f>
        <v/>
      </c>
      <c r="C50" s="12">
        <f>SUM(C12:C17)+SUM(C19:C22)+SUM(C24:C28)+SUM(C30:C30)+SUM(C32:C34)+SUM(C36:C41)+SUM(C43:C47)</f>
        <v/>
      </c>
      <c r="D50" s="12">
        <f>SUM(D12:D17)+SUM(D19:D22)+SUM(D24:D28)+SUM(D30:D30)+SUM(D32:D34)+SUM(D36:D41)+SUM(D43:D47)</f>
        <v/>
      </c>
      <c r="E50" s="12">
        <f>SUM(E12:E17)+SUM(E19:E22)+SUM(E24:E28)+SUM(E30:E30)+SUM(E32:E34)+SUM(E36:E41)+SUM(E43:E47)</f>
        <v/>
      </c>
      <c r="F50" s="12">
        <f>SUM(F12:F17)+SUM(F19:F22)+SUM(F24:F28)+SUM(F30:F30)+SUM(F32:F34)+SUM(F36:F41)+SUM(F43:F47)</f>
        <v/>
      </c>
      <c r="G50" s="12">
        <f>SUM(G12:G17)+SUM(G19:G22)+SUM(G24:G28)+SUM(G30:G30)+SUM(G32:G34)+SUM(G36:G41)+SUM(G43:G47)</f>
        <v/>
      </c>
      <c r="H50" s="12">
        <f>SUM(H12:H17)+SUM(H19:H22)+SUM(H24:H28)+SUM(H30:H30)+SUM(H32:H34)+SUM(H36:H41)+SUM(H43:H47)</f>
        <v/>
      </c>
      <c r="I50" s="12">
        <f>SUM(I12:I17)+SUM(I19:I22)+SUM(I24:I28)+SUM(I30:I30)+SUM(I32:I34)+SUM(I36:I41)+SUM(I43:I47)</f>
        <v/>
      </c>
      <c r="J50" s="12">
        <f>SUM(J12:J17)+SUM(J19:J22)+SUM(J24:J28)+SUM(J30:J30)+SUM(J32:J34)+SUM(J36:J41)+SUM(J43:J47)</f>
        <v/>
      </c>
      <c r="K50" s="12">
        <f>SUM(K12:K17)+SUM(K19:K22)+SUM(K24:K28)+SUM(K30:K30)+SUM(K32:K34)+SUM(K36:K41)+SUM(K43:K47)</f>
        <v/>
      </c>
      <c r="L50" s="12">
        <f>SUM(L12:L17)+SUM(L19:L22)+SUM(L24:L28)+SUM(L30:L30)+SUM(L32:L34)+SUM(L36:L41)+SUM(L43:L47)</f>
        <v/>
      </c>
      <c r="M50" s="12">
        <f>SUM(M12:M17)+SUM(M19:M22)+SUM(M24:M28)+SUM(M30:M30)+SUM(M32:M34)+SUM(M36:M41)+SUM(M43:M47)</f>
        <v/>
      </c>
      <c r="N50" s="12">
        <f>SUM(N12:N17)+SUM(N19:N22)+SUM(N24:N28)+SUM(N30:N30)+SUM(N32:N34)+SUM(N36:N41)+SUM(N43:N47)</f>
        <v/>
      </c>
      <c r="O50" s="12">
        <f>SUM(O12:O17)+SUM(O19:O22)+SUM(O24:O28)+SUM(O30:O30)+SUM(O32:O34)+SUM(O36:O41)+SUM(O43:O47)</f>
        <v/>
      </c>
      <c r="P50" s="12">
        <f>SUM(P12:P17)+SUM(P19:P22)+SUM(P24:P28)+SUM(P30:P30)+SUM(P32:P34)+SUM(P36:P41)+SUM(P43:P47)</f>
        <v/>
      </c>
    </row>
    <row r="51">
      <c r="A51" s="11" t="inlineStr">
        <is>
          <t>Balance (income – expenses)</t>
        </is>
      </c>
      <c r="B51" s="12">
        <f>B49-B50</f>
        <v/>
      </c>
      <c r="C51" s="12">
        <f>C49-C50</f>
        <v/>
      </c>
      <c r="D51" s="12">
        <f>D49-D50</f>
        <v/>
      </c>
      <c r="E51" s="12">
        <f>E49-E50</f>
        <v/>
      </c>
      <c r="F51" s="12">
        <f>F49-F50</f>
        <v/>
      </c>
      <c r="G51" s="12">
        <f>G49-G50</f>
        <v/>
      </c>
      <c r="H51" s="12">
        <f>H49-H50</f>
        <v/>
      </c>
      <c r="I51" s="12">
        <f>I49-I50</f>
        <v/>
      </c>
      <c r="J51" s="12">
        <f>J49-J50</f>
        <v/>
      </c>
      <c r="K51" s="12">
        <f>K49-K50</f>
        <v/>
      </c>
      <c r="L51" s="12">
        <f>L49-L50</f>
        <v/>
      </c>
      <c r="M51" s="12">
        <f>M49-M50</f>
        <v/>
      </c>
      <c r="N51" s="12">
        <f>N49-N50</f>
        <v/>
      </c>
      <c r="O51" s="12">
        <f>O49-O50</f>
        <v/>
      </c>
      <c r="P51" s="12">
        <f>P49-P50</f>
        <v/>
      </c>
    </row>
    <row r="52">
      <c r="A52" s="11" t="inlineStr">
        <is>
          <t>Savings rate (3a + savings + balance)</t>
        </is>
      </c>
      <c r="B52" s="13">
        <f>IFERROR((SUM(B32:B34)+B51)/B49,0)</f>
        <v/>
      </c>
      <c r="C52" s="13">
        <f>IFERROR((SUM(C32:C34)+C51)/C49,0)</f>
        <v/>
      </c>
      <c r="D52" s="13">
        <f>IFERROR((SUM(D32:D34)+D51)/D49,0)</f>
        <v/>
      </c>
      <c r="E52" s="13">
        <f>IFERROR((SUM(E32:E34)+E51)/E49,0)</f>
        <v/>
      </c>
      <c r="F52" s="13">
        <f>IFERROR((SUM(F32:F34)+F51)/F49,0)</f>
        <v/>
      </c>
      <c r="G52" s="13">
        <f>IFERROR((SUM(G32:G34)+G51)/G49,0)</f>
        <v/>
      </c>
      <c r="H52" s="13">
        <f>IFERROR((SUM(H32:H34)+H51)/H49,0)</f>
        <v/>
      </c>
      <c r="I52" s="13">
        <f>IFERROR((SUM(I32:I34)+I51)/I49,0)</f>
        <v/>
      </c>
      <c r="J52" s="13">
        <f>IFERROR((SUM(J32:J34)+J51)/J49,0)</f>
        <v/>
      </c>
      <c r="K52" s="13">
        <f>IFERROR((SUM(K32:K34)+K51)/K49,0)</f>
        <v/>
      </c>
      <c r="L52" s="13">
        <f>IFERROR((SUM(L32:L34)+L51)/L49,0)</f>
        <v/>
      </c>
      <c r="M52" s="13">
        <f>IFERROR((SUM(M32:M34)+M51)/M49,0)</f>
        <v/>
      </c>
      <c r="N52" s="13">
        <f>IFERROR((SUM(N32:N34)+N51)/N49,0)</f>
        <v/>
      </c>
      <c r="O52" s="13">
        <f>IFERROR((SUM(O32:O34)+O51)/O49,0)</f>
        <v/>
      </c>
      <c r="P52" s="13">
        <f>IFERROR((SUM(P32:P34)+P51)/P49,0)</f>
        <v/>
      </c>
    </row>
    <row r="53">
      <c r="A53" s="14" t="inlineStr">
        <is>
          <t>of which fixed costs (housing, health, transport, taxes)</t>
        </is>
      </c>
      <c r="B53" s="15">
        <f>SUM(B12:B17)+SUM(B19:B22)+SUM(B24:B28)+SUM(B30:B30)</f>
        <v/>
      </c>
      <c r="C53" s="15">
        <f>SUM(C12:C17)+SUM(C19:C22)+SUM(C24:C28)+SUM(C30:C30)</f>
        <v/>
      </c>
      <c r="D53" s="15">
        <f>SUM(D12:D17)+SUM(D19:D22)+SUM(D24:D28)+SUM(D30:D30)</f>
        <v/>
      </c>
      <c r="E53" s="15">
        <f>SUM(E12:E17)+SUM(E19:E22)+SUM(E24:E28)+SUM(E30:E30)</f>
        <v/>
      </c>
      <c r="F53" s="15">
        <f>SUM(F12:F17)+SUM(F19:F22)+SUM(F24:F28)+SUM(F30:F30)</f>
        <v/>
      </c>
      <c r="G53" s="15">
        <f>SUM(G12:G17)+SUM(G19:G22)+SUM(G24:G28)+SUM(G30:G30)</f>
        <v/>
      </c>
      <c r="H53" s="15">
        <f>SUM(H12:H17)+SUM(H19:H22)+SUM(H24:H28)+SUM(H30:H30)</f>
        <v/>
      </c>
      <c r="I53" s="15">
        <f>SUM(I12:I17)+SUM(I19:I22)+SUM(I24:I28)+SUM(I30:I30)</f>
        <v/>
      </c>
      <c r="J53" s="15">
        <f>SUM(J12:J17)+SUM(J19:J22)+SUM(J24:J28)+SUM(J30:J30)</f>
        <v/>
      </c>
      <c r="K53" s="15">
        <f>SUM(K12:K17)+SUM(K19:K22)+SUM(K24:K28)+SUM(K30:K30)</f>
        <v/>
      </c>
      <c r="L53" s="15">
        <f>SUM(L12:L17)+SUM(L19:L22)+SUM(L24:L28)+SUM(L30:L30)</f>
        <v/>
      </c>
      <c r="M53" s="15">
        <f>SUM(M12:M17)+SUM(M19:M22)+SUM(M24:M28)+SUM(M30:M30)</f>
        <v/>
      </c>
      <c r="N53" s="15">
        <f>SUM(N12:N17)+SUM(N19:N22)+SUM(N24:N28)+SUM(N30:N30)</f>
        <v/>
      </c>
      <c r="O53" s="15">
        <f>SUM(O12:O17)+SUM(O19:O22)+SUM(O24:O28)+SUM(O30:O30)</f>
        <v/>
      </c>
      <c r="P53" s="15">
        <f>SUM(P12:P17)+SUM(P19:P22)+SUM(P24:P28)+SUM(P30:P30)</f>
        <v/>
      </c>
    </row>
  </sheetData>
  <conditionalFormatting sqref="B51:P51">
    <cfRule type="cellIs" priority="1" operator="lessThan" dxfId="0">
      <formula>0</formula>
    </cfRule>
    <cfRule type="cellIs" priority="2" operator="greaterThanOrEqual" dxfId="1">
      <formula>0</formula>
    </cfRule>
  </conditionalFormatting>
  <conditionalFormatting sqref="Q12:Q47">
    <cfRule type="cellIs" priority="3" operator="greaterThan" dxfId="0">
      <formula>0.005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2" customWidth="1" min="5" max="5"/>
  </cols>
  <sheetData>
    <row r="1">
      <c r="A1" s="1" t="inlineStr">
        <is>
          <t>Annual overview</t>
        </is>
      </c>
    </row>
    <row r="2">
      <c r="A2" s="2" t="inlineStr">
        <is>
          <t>Filled automatically from the «Budget» sheet.</t>
        </is>
      </c>
    </row>
    <row r="3"/>
    <row r="4">
      <c r="A4" s="16" t="inlineStr">
        <is>
          <t>Month</t>
        </is>
      </c>
      <c r="B4" s="16" t="inlineStr">
        <is>
          <t>Income</t>
        </is>
      </c>
      <c r="C4" s="16" t="inlineStr">
        <is>
          <t>Expenses</t>
        </is>
      </c>
      <c r="D4" s="16" t="inlineStr">
        <is>
          <t>Balance</t>
        </is>
      </c>
      <c r="E4" s="16" t="inlineStr">
        <is>
          <t>Savings rate</t>
        </is>
      </c>
    </row>
    <row r="5">
      <c r="A5" t="inlineStr">
        <is>
          <t>Jan</t>
        </is>
      </c>
      <c r="B5" s="10">
        <f>Budget!C49</f>
        <v/>
      </c>
      <c r="C5" s="10">
        <f>Budget!C50</f>
        <v/>
      </c>
      <c r="D5" s="10">
        <f>Budget!C51</f>
        <v/>
      </c>
      <c r="E5" s="17">
        <f>Budget!C52</f>
        <v/>
      </c>
    </row>
    <row r="6">
      <c r="A6" t="inlineStr">
        <is>
          <t>Feb</t>
        </is>
      </c>
      <c r="B6" s="10">
        <f>Budget!D49</f>
        <v/>
      </c>
      <c r="C6" s="10">
        <f>Budget!D50</f>
        <v/>
      </c>
      <c r="D6" s="10">
        <f>Budget!D51</f>
        <v/>
      </c>
      <c r="E6" s="17">
        <f>Budget!D52</f>
        <v/>
      </c>
    </row>
    <row r="7">
      <c r="A7" t="inlineStr">
        <is>
          <t>Mar</t>
        </is>
      </c>
      <c r="B7" s="10">
        <f>Budget!E49</f>
        <v/>
      </c>
      <c r="C7" s="10">
        <f>Budget!E50</f>
        <v/>
      </c>
      <c r="D7" s="10">
        <f>Budget!E51</f>
        <v/>
      </c>
      <c r="E7" s="17">
        <f>Budget!E52</f>
        <v/>
      </c>
    </row>
    <row r="8">
      <c r="A8" t="inlineStr">
        <is>
          <t>Apr</t>
        </is>
      </c>
      <c r="B8" s="10">
        <f>Budget!F49</f>
        <v/>
      </c>
      <c r="C8" s="10">
        <f>Budget!F50</f>
        <v/>
      </c>
      <c r="D8" s="10">
        <f>Budget!F51</f>
        <v/>
      </c>
      <c r="E8" s="17">
        <f>Budget!F52</f>
        <v/>
      </c>
    </row>
    <row r="9">
      <c r="A9" t="inlineStr">
        <is>
          <t>May</t>
        </is>
      </c>
      <c r="B9" s="10">
        <f>Budget!G49</f>
        <v/>
      </c>
      <c r="C9" s="10">
        <f>Budget!G50</f>
        <v/>
      </c>
      <c r="D9" s="10">
        <f>Budget!G51</f>
        <v/>
      </c>
      <c r="E9" s="17">
        <f>Budget!G52</f>
        <v/>
      </c>
    </row>
    <row r="10">
      <c r="A10" t="inlineStr">
        <is>
          <t>Jun</t>
        </is>
      </c>
      <c r="B10" s="10">
        <f>Budget!H49</f>
        <v/>
      </c>
      <c r="C10" s="10">
        <f>Budget!H50</f>
        <v/>
      </c>
      <c r="D10" s="10">
        <f>Budget!H51</f>
        <v/>
      </c>
      <c r="E10" s="17">
        <f>Budget!H52</f>
        <v/>
      </c>
    </row>
    <row r="11">
      <c r="A11" t="inlineStr">
        <is>
          <t>Jul</t>
        </is>
      </c>
      <c r="B11" s="10">
        <f>Budget!I49</f>
        <v/>
      </c>
      <c r="C11" s="10">
        <f>Budget!I50</f>
        <v/>
      </c>
      <c r="D11" s="10">
        <f>Budget!I51</f>
        <v/>
      </c>
      <c r="E11" s="17">
        <f>Budget!I52</f>
        <v/>
      </c>
    </row>
    <row r="12">
      <c r="A12" t="inlineStr">
        <is>
          <t>Aug</t>
        </is>
      </c>
      <c r="B12" s="10">
        <f>Budget!J49</f>
        <v/>
      </c>
      <c r="C12" s="10">
        <f>Budget!J50</f>
        <v/>
      </c>
      <c r="D12" s="10">
        <f>Budget!J51</f>
        <v/>
      </c>
      <c r="E12" s="17">
        <f>Budget!J52</f>
        <v/>
      </c>
    </row>
    <row r="13">
      <c r="A13" t="inlineStr">
        <is>
          <t>Sep</t>
        </is>
      </c>
      <c r="B13" s="10">
        <f>Budget!K49</f>
        <v/>
      </c>
      <c r="C13" s="10">
        <f>Budget!K50</f>
        <v/>
      </c>
      <c r="D13" s="10">
        <f>Budget!K51</f>
        <v/>
      </c>
      <c r="E13" s="17">
        <f>Budget!K52</f>
        <v/>
      </c>
    </row>
    <row r="14">
      <c r="A14" t="inlineStr">
        <is>
          <t>Oct</t>
        </is>
      </c>
      <c r="B14" s="10">
        <f>Budget!L49</f>
        <v/>
      </c>
      <c r="C14" s="10">
        <f>Budget!L50</f>
        <v/>
      </c>
      <c r="D14" s="10">
        <f>Budget!L51</f>
        <v/>
      </c>
      <c r="E14" s="17">
        <f>Budget!L52</f>
        <v/>
      </c>
    </row>
    <row r="15">
      <c r="A15" t="inlineStr">
        <is>
          <t>Nov</t>
        </is>
      </c>
      <c r="B15" s="10">
        <f>Budget!M49</f>
        <v/>
      </c>
      <c r="C15" s="10">
        <f>Budget!M50</f>
        <v/>
      </c>
      <c r="D15" s="10">
        <f>Budget!M51</f>
        <v/>
      </c>
      <c r="E15" s="17">
        <f>Budget!M52</f>
        <v/>
      </c>
    </row>
    <row r="16">
      <c r="A16" t="inlineStr">
        <is>
          <t>Dec</t>
        </is>
      </c>
      <c r="B16" s="10">
        <f>Budget!N49</f>
        <v/>
      </c>
      <c r="C16" s="10">
        <f>Budget!N50</f>
        <v/>
      </c>
      <c r="D16" s="10">
        <f>Budget!N51</f>
        <v/>
      </c>
      <c r="E16" s="17">
        <f>Budget!N52</f>
        <v/>
      </c>
    </row>
    <row r="17">
      <c r="A17" s="11" t="inlineStr">
        <is>
          <t>Total</t>
        </is>
      </c>
      <c r="B17" s="18">
        <f>SUM(B5:B16)</f>
        <v/>
      </c>
      <c r="C17" s="18">
        <f>SUM(C5:C16)</f>
        <v/>
      </c>
      <c r="D17" s="18">
        <f>SUM(D5:D16)</f>
        <v/>
      </c>
      <c r="E17" s="19">
        <f>Budget!P52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</cols>
  <sheetData>
    <row r="1">
      <c r="A1" s="1" t="inlineStr">
        <is>
          <t>Emergency fund calculator</t>
        </is>
      </c>
    </row>
    <row r="2">
      <c r="A2" s="2" t="inlineStr">
        <is>
          <t>Rule of thumb: keep 3–6 months of fixed costs aside.</t>
        </is>
      </c>
    </row>
    <row r="3"/>
    <row r="4">
      <c r="A4" s="11" t="inlineStr">
        <is>
          <t>Fixed costs per month (from budget)</t>
        </is>
      </c>
      <c r="B4" s="12">
        <f>Budget!B53</f>
        <v/>
      </c>
    </row>
    <row r="5">
      <c r="A5" s="11" t="inlineStr">
        <is>
          <t>Minimum target (3 months)</t>
        </is>
      </c>
      <c r="B5" s="12">
        <f>B4*3</f>
        <v/>
      </c>
    </row>
    <row r="6">
      <c r="A6" s="11" t="inlineStr">
        <is>
          <t>Comfortable target (6 months)</t>
        </is>
      </c>
      <c r="B6" s="12">
        <f>B4*6</f>
        <v/>
      </c>
    </row>
    <row r="7">
      <c r="A7" t="inlineStr">
        <is>
          <t>Currently in your emergency fund</t>
        </is>
      </c>
      <c r="B7" s="9" t="n">
        <v>0</v>
      </c>
    </row>
    <row r="8">
      <c r="A8" s="11" t="inlineStr">
        <is>
          <t>Progress towards 6-month target</t>
        </is>
      </c>
      <c r="B8" s="13">
        <f>IFERROR(MIN(B7/B6,1),0)</f>
        <v/>
      </c>
    </row>
    <row r="9">
      <c r="A9" s="11" t="inlineStr">
        <is>
          <t>Still missing</t>
        </is>
      </c>
      <c r="B9" s="12">
        <f>MAX(B6-B7,0)</f>
        <v/>
      </c>
    </row>
    <row r="10">
      <c r="A10" t="inlineStr">
        <is>
          <t>Monthly saving for the emergency fund</t>
        </is>
      </c>
      <c r="B10" s="9" t="n">
        <v>0</v>
      </c>
    </row>
    <row r="11">
      <c r="A11" s="11" t="inlineStr">
        <is>
          <t>Months to target</t>
        </is>
      </c>
      <c r="B11" s="20">
        <f>IF(B9=0,0,IFERROR(ROUNDUP(B9/B10,0),"Enter monthly saving"))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</cols>
  <sheetData>
    <row r="1">
      <c r="A1" s="1" t="inlineStr">
        <is>
          <t>Pillar 3a tracker</t>
        </is>
      </c>
    </row>
    <row r="2">
      <c r="A2" s="2" t="inlineStr">
        <is>
          <t>Contributions are taken from the «Pillar 3a» row in the budget.</t>
        </is>
      </c>
    </row>
    <row r="3"/>
    <row r="4">
      <c r="A4" t="inlineStr">
        <is>
          <t>Maximum 3a contribution this year</t>
        </is>
      </c>
      <c r="B4" s="9" t="n"/>
      <c r="C4" s="2" t="inlineStr">
        <is>
          <t>Enter the official maximum (depends on whether you have a pension fund, see the Federal Tax Administration).</t>
        </is>
      </c>
    </row>
    <row r="5">
      <c r="A5" s="11" t="inlineStr">
        <is>
          <t>Paid in so far</t>
        </is>
      </c>
      <c r="B5" s="12">
        <f>Budget!O32</f>
        <v/>
      </c>
    </row>
    <row r="6">
      <c r="A6" s="11" t="inlineStr">
        <is>
          <t>Remaining allowance</t>
        </is>
      </c>
      <c r="B6" s="12">
        <f>MAX(B4-B5,0)</f>
        <v/>
      </c>
    </row>
    <row r="7">
      <c r="A7" t="inlineStr">
        <is>
          <t>Current month (1–12)</t>
        </is>
      </c>
      <c r="B7" s="21" t="n">
        <v>1</v>
      </c>
    </row>
    <row r="8">
      <c r="A8" s="11" t="inlineStr">
        <is>
          <t>Needed per remaining month</t>
        </is>
      </c>
      <c r="B8" s="12">
        <f>IFERROR(B6/(13-B7),0)</f>
        <v/>
      </c>
    </row>
    <row r="9">
      <c r="A9" s="11" t="inlineStr">
        <is>
          <t>Allowance used</t>
        </is>
      </c>
      <c r="B9" s="13">
        <f>IFERROR(B5/B4,0)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</cols>
  <sheetData>
    <row r="1">
      <c r="A1" s="1" t="inlineStr">
        <is>
          <t>Tax reserve</t>
        </is>
      </c>
    </row>
    <row r="2">
      <c r="A2" s="2" t="inlineStr">
        <is>
          <t>So the tax bill never catches you off guard.</t>
        </is>
      </c>
    </row>
    <row r="3"/>
    <row r="4">
      <c r="A4" t="inlineStr">
        <is>
          <t>Expected taxes this year</t>
        </is>
      </c>
      <c r="B4" s="9" t="n">
        <v>0</v>
      </c>
      <c r="C4" s="2" t="inlineStr">
        <is>
          <t>Tip: use your last tax bill or your canton's online tax calculator.</t>
        </is>
      </c>
    </row>
    <row r="5">
      <c r="A5" s="11" t="inlineStr">
        <is>
          <t>Recommended reserve per month</t>
        </is>
      </c>
      <c r="B5" s="12">
        <f>B4/12</f>
        <v/>
      </c>
    </row>
    <row r="6">
      <c r="A6" s="11" t="inlineStr">
        <is>
          <t>Already set aside (from budget)</t>
        </is>
      </c>
      <c r="B6" s="12">
        <f>Budget!O30</f>
        <v/>
      </c>
    </row>
    <row r="7">
      <c r="A7" s="11" t="inlineStr">
        <is>
          <t>Still open</t>
        </is>
      </c>
      <c r="B7" s="12">
        <f>MAX(B4-B6,0)</f>
        <v/>
      </c>
    </row>
    <row r="8">
      <c r="A8" s="11" t="inlineStr">
        <is>
          <t>Coverage</t>
        </is>
      </c>
      <c r="B8" s="13">
        <f>IFERROR(B6/B4,0)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2026-09-25T22:01:01Z</dcterms:created>
  <dcterms:modified xsi:type="dcterms:W3CDTF">2026-09-25T22:01:01Z</dcterms:modified>
</cp:coreProperties>
</file>