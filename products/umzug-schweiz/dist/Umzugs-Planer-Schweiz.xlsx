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mzugs-Pla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7">
    <font>
      <name val="Calibri"/>
      <family val="2"/>
      <color theme="1"/>
      <sz val="11"/>
      <scheme val="minor"/>
    </font>
    <font>
      <b val="1"/>
      <color rgb="00D52B1E"/>
      <sz val="18"/>
    </font>
    <font>
      <i val="1"/>
      <color rgb="006B7280"/>
    </font>
    <font>
      <b val="1"/>
    </font>
    <font>
      <b val="1"/>
      <color rgb="00FFFFFF"/>
    </font>
    <font>
      <b val="1"/>
      <color rgb="00D52B1E"/>
    </font>
    <font>
      <b val="1"/>
      <color rgb="0015803D"/>
      <sz val="14"/>
    </font>
  </fonts>
  <fills count="5">
    <fill>
      <patternFill/>
    </fill>
    <fill>
      <patternFill patternType="gray125"/>
    </fill>
    <fill>
      <patternFill patternType="solid">
        <fgColor rgb="00FFF7D6"/>
        <bgColor rgb="00FFF7D6"/>
      </patternFill>
    </fill>
    <fill>
      <patternFill patternType="solid">
        <fgColor rgb="001F2937"/>
        <bgColor rgb="001F2937"/>
      </patternFill>
    </fill>
    <fill>
      <patternFill patternType="solid">
        <fgColor rgb="00FDECEA"/>
        <bgColor rgb="00FDECE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2" borderId="1" pivotButton="0" quotePrefix="0" xfId="0"/>
    <xf numFmtId="9" fontId="6" fillId="0" borderId="0" pivotButton="0" quotePrefix="0" xfId="0"/>
    <xf numFmtId="0" fontId="4" fillId="3" borderId="0" applyAlignment="1" pivotButton="0" quotePrefix="0" xfId="0">
      <alignment vertical="center" wrapText="1"/>
    </xf>
    <xf numFmtId="164" fontId="0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2" borderId="1" pivotButton="0" quotePrefix="0" xfId="0"/>
    <xf numFmtId="0" fontId="5" fillId="4" borderId="0" pivotButton="0" quotePrefix="0" xfId="0"/>
    <xf numFmtId="0" fontId="0" fillId="4" borderId="0" pivotButton="0" quotePrefix="0" xfId="0"/>
  </cellXfs>
  <cellStyles count="1">
    <cellStyle name="Normal" xfId="0" builtinId="0" hidden="0"/>
  </cellStyles>
  <dxfs count="2">
    <dxf>
      <font>
        <b val="1"/>
        <color rgb="00B91C1C"/>
      </font>
      <fill>
        <patternFill patternType="solid">
          <fgColor rgb="00FDECEA"/>
          <bgColor rgb="00FDECEA"/>
        </patternFill>
      </fill>
    </dxf>
    <dxf>
      <font>
        <strike val="1"/>
        <color rgb="009CA3AF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90" customWidth="1" min="3" max="3"/>
    <col width="15" customWidth="1" min="4" max="4"/>
    <col width="30" customWidth="1" min="5" max="5"/>
  </cols>
  <sheetData>
    <row r="1">
      <c r="A1" s="1" t="inlineStr">
        <is>
          <t>Umzugs-Planer Schweiz</t>
        </is>
      </c>
    </row>
    <row r="2">
      <c r="A2" s="2" t="inlineStr">
        <is>
          <t>Umzugsdatum eintragen – alle Fristen berechnen sich automatisch.</t>
        </is>
      </c>
    </row>
    <row r="4">
      <c r="A4" s="3" t="inlineStr">
        <is>
          <t>Umzugsdatum:</t>
        </is>
      </c>
      <c r="B4" s="4" t="n"/>
      <c r="D4" s="3" t="inlineStr">
        <is>
          <t>Fortschritt:</t>
        </is>
      </c>
      <c r="E4" s="5">
        <f>IFERROR(COUNTIF(D7:D37,"Erledigt")/(COUNTA(D7:D37)-COUNTIF(D7:D37,"Nicht relevant")),0)</f>
        <v/>
      </c>
    </row>
    <row r="6">
      <c r="A6" s="6" t="inlineStr">
        <is>
          <t>Fällig am</t>
        </is>
      </c>
      <c r="B6" s="6" t="inlineStr">
        <is>
          <t>Tage vor/nach Umzug</t>
        </is>
      </c>
      <c r="C6" s="6" t="inlineStr">
        <is>
          <t>Aufgabe</t>
        </is>
      </c>
      <c r="D6" s="6" t="inlineStr">
        <is>
          <t>Status</t>
        </is>
      </c>
      <c r="E6" s="6" t="inlineStr">
        <is>
          <t>Notizen</t>
        </is>
      </c>
    </row>
    <row r="7">
      <c r="A7" s="7">
        <f>IF($B$4="","",$B$4+B7)</f>
        <v/>
      </c>
      <c r="B7" s="8" t="n">
        <v>-90</v>
      </c>
      <c r="C7" s="9" t="inlineStr">
        <is>
          <t>Alte Wohnung kündigen – per Einschreiben, Kündigungsfrist und -termine im Mietvertrag prüfen (oft 3 Monate). Wohnt ihr als Ehepaar/eingetragene Partner dort, müssen beide unterschreiben.</t>
        </is>
      </c>
      <c r="D7" s="10" t="inlineStr">
        <is>
          <t>Offen</t>
        </is>
      </c>
      <c r="E7" s="10" t="n"/>
    </row>
    <row r="8">
      <c r="A8" s="7">
        <f>IF($B$4="","",$B$4+B8)</f>
        <v/>
      </c>
      <c r="B8" s="8" t="n">
        <v>-75</v>
      </c>
      <c r="C8" s="9" t="inlineStr">
        <is>
          <t>Neue Wohnung: Mietvertrag unterschreiben, Mietkaution organisieren (max. 3 Monatsmieten, Sperrkonto oder Kautionsversicherung).</t>
        </is>
      </c>
      <c r="D8" s="10" t="inlineStr">
        <is>
          <t>Offen</t>
        </is>
      </c>
      <c r="E8" s="10" t="n"/>
    </row>
    <row r="9">
      <c r="A9" s="7">
        <f>IF($B$4="","",$B$4+B9)</f>
        <v/>
      </c>
      <c r="B9" s="8" t="n">
        <v>-60</v>
      </c>
      <c r="C9" s="9" t="inlineStr">
        <is>
          <t>Umzugsfirma oder Transporter reservieren, mehrere Offerten vergleichen.</t>
        </is>
      </c>
      <c r="D9" s="10" t="inlineStr">
        <is>
          <t>Offen</t>
        </is>
      </c>
      <c r="E9" s="10" t="n"/>
    </row>
    <row r="10">
      <c r="A10" s="7">
        <f>IF($B$4="","",$B$4+B10)</f>
        <v/>
      </c>
      <c r="B10" s="8" t="n">
        <v>-60</v>
      </c>
      <c r="C10" s="9" t="inlineStr">
        <is>
          <t>Arbeitgeber informieren, Umzugstag frei nehmen.</t>
        </is>
      </c>
      <c r="D10" s="10" t="inlineStr">
        <is>
          <t>Offen</t>
        </is>
      </c>
      <c r="E10" s="10" t="n"/>
    </row>
    <row r="11">
      <c r="A11" s="7">
        <f>IF($B$4="","",$B$4+B11)</f>
        <v/>
      </c>
      <c r="B11" s="8" t="n">
        <v>-45</v>
      </c>
      <c r="C11" s="9" t="inlineStr">
        <is>
          <t>Internet/TV für die neue Adresse bestellen oder umziehen (Aufschaltung kann dauern).</t>
        </is>
      </c>
      <c r="D11" s="10" t="inlineStr">
        <is>
          <t>Offen</t>
        </is>
      </c>
      <c r="E11" s="10" t="n"/>
    </row>
    <row r="12">
      <c r="A12" s="7">
        <f>IF($B$4="","",$B$4+B12)</f>
        <v/>
      </c>
      <c r="B12" s="8" t="n">
        <v>-45</v>
      </c>
      <c r="C12" s="9" t="inlineStr">
        <is>
          <t>Endreinigung mit Abnahmegarantie buchen – oder selbst planen.</t>
        </is>
      </c>
      <c r="D12" s="10" t="inlineStr">
        <is>
          <t>Offen</t>
        </is>
      </c>
      <c r="E12" s="10" t="n"/>
    </row>
    <row r="13">
      <c r="A13" s="7">
        <f>IF($B$4="","",$B$4+B13)</f>
        <v/>
      </c>
      <c r="B13" s="8" t="n">
        <v>-30</v>
      </c>
      <c r="C13" s="9" t="inlineStr">
        <is>
          <t>Nachsendeauftrag bei der Post erfassen.</t>
        </is>
      </c>
      <c r="D13" s="10" t="inlineStr">
        <is>
          <t>Offen</t>
        </is>
      </c>
      <c r="E13" s="10" t="n"/>
    </row>
    <row r="14">
      <c r="A14" s="7">
        <f>IF($B$4="","",$B$4+B14)</f>
        <v/>
      </c>
      <c r="B14" s="8" t="n">
        <v>-30</v>
      </c>
      <c r="C14" s="9" t="inlineStr">
        <is>
          <t>Adresse melden: Bank, Krankenkasse (Prämienregion kann sich ändern!), Versicherungen, Arbeitgeber, Abos, Online-Shops.</t>
        </is>
      </c>
      <c r="D14" s="10" t="inlineStr">
        <is>
          <t>Offen</t>
        </is>
      </c>
      <c r="E14" s="10" t="n"/>
    </row>
    <row r="15">
      <c r="A15" s="7">
        <f>IF($B$4="","",$B$4+B15)</f>
        <v/>
      </c>
      <c r="B15" s="8" t="n">
        <v>-30</v>
      </c>
      <c r="C15" s="9" t="inlineStr">
        <is>
          <t>Hausratversicherung: neue Adresse und Versicherungssumme anpassen.</t>
        </is>
      </c>
      <c r="D15" s="10" t="inlineStr">
        <is>
          <t>Offen</t>
        </is>
      </c>
      <c r="E15" s="10" t="n"/>
    </row>
    <row r="16">
      <c r="A16" s="7">
        <f>IF($B$4="","",$B$4+B16)</f>
        <v/>
      </c>
      <c r="B16" s="8" t="n">
        <v>-21</v>
      </c>
      <c r="C16" s="9" t="inlineStr">
        <is>
          <t>Aussortieren, verkaufen, verschenken; Sperrgut-Abfuhr organisieren.</t>
        </is>
      </c>
      <c r="D16" s="10" t="inlineStr">
        <is>
          <t>Offen</t>
        </is>
      </c>
      <c r="E16" s="10" t="n"/>
    </row>
    <row r="17">
      <c r="A17" s="7">
        <f>IF($B$4="","",$B$4+B17)</f>
        <v/>
      </c>
      <c r="B17" s="8" t="n">
        <v>-14</v>
      </c>
      <c r="C17" s="9" t="inlineStr">
        <is>
          <t>Parkbewilligung für den Umzugswagen bei der Gemeinde/Stadt beantragen (falls nötig).</t>
        </is>
      </c>
      <c r="D17" s="10" t="inlineStr">
        <is>
          <t>Offen</t>
        </is>
      </c>
      <c r="E17" s="10" t="n"/>
    </row>
    <row r="18">
      <c r="A18" s="7">
        <f>IF($B$4="","",$B$4+B18)</f>
        <v/>
      </c>
      <c r="B18" s="8" t="n">
        <v>-14</v>
      </c>
      <c r="C18" s="9" t="inlineStr">
        <is>
          <t>Wohnungsabgabe-Termin mit der Verwaltung vereinbaren; Mängel und Reparaturen erledigen.</t>
        </is>
      </c>
      <c r="D18" s="10" t="inlineStr">
        <is>
          <t>Offen</t>
        </is>
      </c>
      <c r="E18" s="10" t="n"/>
    </row>
    <row r="19">
      <c r="A19" s="7">
        <f>IF($B$4="","",$B$4+B19)</f>
        <v/>
      </c>
      <c r="B19" s="8" t="n">
        <v>-7</v>
      </c>
      <c r="C19" s="9" t="inlineStr">
        <is>
          <t>Kartons beschriften, Umzugskiste mit Wichtigem (Dokumente, Ladekabel, Medikamente) packen.</t>
        </is>
      </c>
      <c r="D19" s="10" t="inlineStr">
        <is>
          <t>Offen</t>
        </is>
      </c>
      <c r="E19" s="10" t="n"/>
    </row>
    <row r="20">
      <c r="A20" s="7">
        <f>IF($B$4="","",$B$4+B20)</f>
        <v/>
      </c>
      <c r="B20" s="8" t="n">
        <v>-3</v>
      </c>
      <c r="C20" s="9" t="inlineStr">
        <is>
          <t>Schlüsselübergabe der neuen Wohnung bestätigen.</t>
        </is>
      </c>
      <c r="D20" s="10" t="inlineStr">
        <is>
          <t>Offen</t>
        </is>
      </c>
      <c r="E20" s="10" t="n"/>
    </row>
    <row r="21">
      <c r="A21" s="7">
        <f>IF($B$4="","",$B$4+B21)</f>
        <v/>
      </c>
      <c r="B21" s="8" t="n">
        <v>0</v>
      </c>
      <c r="C21" s="9" t="inlineStr">
        <is>
          <t>Zählerstände (Strom, ggf. Gas/Wasser) in alter und neuer Wohnung fotografieren.</t>
        </is>
      </c>
      <c r="D21" s="10" t="inlineStr">
        <is>
          <t>Offen</t>
        </is>
      </c>
      <c r="E21" s="10" t="n"/>
    </row>
    <row r="22">
      <c r="A22" s="7">
        <f>IF($B$4="","",$B$4+B22)</f>
        <v/>
      </c>
      <c r="B22" s="8" t="n">
        <v>0</v>
      </c>
      <c r="C22" s="9" t="inlineStr">
        <is>
          <t>Neue Wohnung: Übergabeprotokoll prüfen, vorhandene Mängel sofort schriftlich melden.</t>
        </is>
      </c>
      <c r="D22" s="10" t="inlineStr">
        <is>
          <t>Offen</t>
        </is>
      </c>
      <c r="E22" s="10" t="n"/>
    </row>
    <row r="23">
      <c r="A23" s="7">
        <f>IF($B$4="","",$B$4+B23)</f>
        <v/>
      </c>
      <c r="B23" s="8" t="n">
        <v>1</v>
      </c>
      <c r="C23" s="9" t="inlineStr">
        <is>
          <t>Alte Wohnung: Abgabe mit Protokoll, alle Schlüssel zurückgeben.</t>
        </is>
      </c>
      <c r="D23" s="10" t="inlineStr">
        <is>
          <t>Offen</t>
        </is>
      </c>
      <c r="E23" s="10" t="n"/>
    </row>
    <row r="24">
      <c r="A24" s="7">
        <f>IF($B$4="","",$B$4+B24)</f>
        <v/>
      </c>
      <c r="B24" s="8" t="n">
        <v>0</v>
      </c>
      <c r="C24" s="9" t="inlineStr">
        <is>
          <t>Abmeldung bei der alten Gemeinde – spätestens am Umzugstag (in vielen Gemeinden online via eUmzugCH, zusammen mit der Anmeldung).</t>
        </is>
      </c>
      <c r="D24" s="10" t="inlineStr">
        <is>
          <t>Offen</t>
        </is>
      </c>
      <c r="E24" s="10" t="n"/>
    </row>
    <row r="25">
      <c r="A25" s="7">
        <f>IF($B$4="","",$B$4+B25)</f>
        <v/>
      </c>
      <c r="B25" s="8" t="n">
        <v>14</v>
      </c>
      <c r="C25" s="9" t="inlineStr">
        <is>
          <t>Anmeldung bei der neuen Gemeinde (Einwohnerkontrolle) – innerhalb von 14 Tagen! Ausweis, Mietvertrag, ggf. Familienausweis mitnehmen.</t>
        </is>
      </c>
      <c r="D25" s="10" t="inlineStr">
        <is>
          <t>Offen</t>
        </is>
      </c>
      <c r="E25" s="10" t="n"/>
    </row>
    <row r="26">
      <c r="A26" s="7">
        <f>IF($B$4="","",$B$4+B26)</f>
        <v/>
      </c>
      <c r="B26" s="8" t="n">
        <v>14</v>
      </c>
      <c r="C26" s="9" t="inlineStr">
        <is>
          <t>Auto/Motorrad: Adressänderung beim Strassenverkehrsamt melden (Frist 14 Tage).</t>
        </is>
      </c>
      <c r="D26" s="10" t="inlineStr">
        <is>
          <t>Offen</t>
        </is>
      </c>
      <c r="E26" s="10" t="n"/>
    </row>
    <row r="27">
      <c r="A27" s="7">
        <f>IF($B$4="","",$B$4+B27)</f>
        <v/>
      </c>
      <c r="B27" s="8" t="n">
        <v>14</v>
      </c>
      <c r="C27" s="9" t="inlineStr">
        <is>
          <t>Hund: neue Adresse in der Heimtierdatenbank (AMICUS) erfassen.</t>
        </is>
      </c>
      <c r="D27" s="10" t="inlineStr">
        <is>
          <t>Offen</t>
        </is>
      </c>
      <c r="E27" s="10" t="n"/>
    </row>
    <row r="28">
      <c r="A28" s="7">
        <f>IF($B$4="","",$B$4+B28)</f>
        <v/>
      </c>
      <c r="B28" s="8" t="n">
        <v>30</v>
      </c>
      <c r="C28" s="9" t="inlineStr">
        <is>
          <t>Namensschild an Briefkasten und Tür anbringen.</t>
        </is>
      </c>
      <c r="D28" s="10" t="inlineStr">
        <is>
          <t>Offen</t>
        </is>
      </c>
      <c r="E28" s="10" t="n"/>
    </row>
    <row r="29">
      <c r="A29" s="7">
        <f>IF($B$4="","",$B$4+B29)</f>
        <v/>
      </c>
      <c r="B29" s="8" t="n">
        <v>30</v>
      </c>
      <c r="C29" s="9" t="inlineStr">
        <is>
          <t>Mietkaution der alten Wohnung zurückfordern (nach Abgabe ohne offene Forderungen).</t>
        </is>
      </c>
      <c r="D29" s="10" t="inlineStr">
        <is>
          <t>Offen</t>
        </is>
      </c>
      <c r="E29" s="10" t="n"/>
    </row>
    <row r="30">
      <c r="A30" s="7">
        <f>IF($B$4="","",$B$4+B30)</f>
        <v/>
      </c>
      <c r="B30" s="8" t="n">
        <v>60</v>
      </c>
      <c r="C30" s="9" t="inlineStr">
        <is>
          <t>Kontrolle: Kommt die Post richtig an? Rechnungen mit neuer Adresse?</t>
        </is>
      </c>
      <c r="D30" s="10" t="inlineStr">
        <is>
          <t>Offen</t>
        </is>
      </c>
      <c r="E30" s="10" t="n"/>
    </row>
    <row r="31">
      <c r="A31" s="11" t="inlineStr">
        <is>
          <t>NUR BEI ZUZUG AUS DEM AUSLAND</t>
        </is>
      </c>
      <c r="B31" s="12" t="n"/>
      <c r="C31" s="12" t="n"/>
      <c r="D31" s="12" t="n"/>
      <c r="E31" s="12" t="n"/>
    </row>
    <row r="32">
      <c r="A32" s="7">
        <f>IF($B$4="","",$B$4+B32)</f>
        <v/>
      </c>
      <c r="B32" s="8" t="n">
        <v>14</v>
      </c>
      <c r="C32" s="9" t="inlineStr">
        <is>
          <t>Anmeldung bei der Gemeinde vor Arbeitsbeginn; Aufenthaltsbewilligung beantragen.</t>
        </is>
      </c>
      <c r="D32" s="10" t="inlineStr">
        <is>
          <t>Offen</t>
        </is>
      </c>
      <c r="E32" s="10" t="n"/>
    </row>
    <row r="33">
      <c r="A33" s="7">
        <f>IF($B$4="","",$B$4+B33)</f>
        <v/>
      </c>
      <c r="B33" s="8" t="n">
        <v>30</v>
      </c>
      <c r="C33" s="9" t="inlineStr">
        <is>
          <t>Schweizer Bankkonto eröffnen.</t>
        </is>
      </c>
      <c r="D33" s="10" t="inlineStr">
        <is>
          <t>Offen</t>
        </is>
      </c>
      <c r="E33" s="10" t="n"/>
    </row>
    <row r="34">
      <c r="A34" s="7">
        <f>IF($B$4="","",$B$4+B34)</f>
        <v/>
      </c>
      <c r="B34" s="8" t="n">
        <v>30</v>
      </c>
      <c r="C34" s="9" t="inlineStr">
        <is>
          <t>Handy-Abo und Internet abschliessen.</t>
        </is>
      </c>
      <c r="D34" s="10" t="inlineStr">
        <is>
          <t>Offen</t>
        </is>
      </c>
      <c r="E34" s="10" t="n"/>
    </row>
    <row r="35">
      <c r="A35" s="7">
        <f>IF($B$4="","",$B$4+B35)</f>
        <v/>
      </c>
      <c r="B35" s="8" t="n">
        <v>60</v>
      </c>
      <c r="C35" s="9" t="inlineStr">
        <is>
          <t>Halbtax oder GA prüfen.</t>
        </is>
      </c>
      <c r="D35" s="10" t="inlineStr">
        <is>
          <t>Offen</t>
        </is>
      </c>
      <c r="E35" s="10" t="n"/>
    </row>
    <row r="36">
      <c r="A36" s="7">
        <f>IF($B$4="","",$B$4+B36)</f>
        <v/>
      </c>
      <c r="B36" s="8" t="n">
        <v>90</v>
      </c>
      <c r="C36" s="9" t="inlineStr">
        <is>
          <t>Krankenversicherung (Grundversicherung) abschliessen – Pflicht innerhalb von 3 Monaten nach Anmeldung.</t>
        </is>
      </c>
      <c r="D36" s="10" t="inlineStr">
        <is>
          <t>Offen</t>
        </is>
      </c>
      <c r="E36" s="10" t="n"/>
    </row>
    <row r="37">
      <c r="A37" s="7">
        <f>IF($B$4="","",$B$4+B37)</f>
        <v/>
      </c>
      <c r="B37" s="8" t="n">
        <v>365</v>
      </c>
      <c r="C37" s="9" t="inlineStr">
        <is>
          <t>Ausländischen Führerausweis umtauschen – innerhalb von 12 Monaten.</t>
        </is>
      </c>
      <c r="D37" s="10" t="inlineStr">
        <is>
          <t>Offen</t>
        </is>
      </c>
      <c r="E37" s="10" t="n"/>
    </row>
    <row r="39">
      <c r="A39" s="2" t="inlineStr">
        <is>
          <t>Rot = überfällig und noch offen. Fristen können je nach Kanton und Mietvertrag abweichen – im Zweifel bei Gemeinde/Verwaltung nachfragen.</t>
        </is>
      </c>
    </row>
  </sheetData>
  <conditionalFormatting sqref="A7:E37">
    <cfRule type="expression" priority="1" dxfId="0">
      <formula>AND($A7&lt;&gt;"",$A7&lt;TODAY(),$D7="Offen")</formula>
    </cfRule>
    <cfRule type="expression" priority="2" dxfId="1">
      <formula>$D7="Erledigt"</formula>
    </cfRule>
  </conditionalFormatting>
  <dataValidations count="1">
    <dataValidation sqref="D7 D8 D9 D10 D11 D12 D13 D14 D15 D16 D17 D18 D19 D20 D21 D22 D23 D24 D25 D26 D27 D28 D29 D30 D32 D33 D34 D35 D36 D37" showDropDown="0" showInputMessage="0" showErrorMessage="0" allowBlank="0" type="list">
      <formula1>"Offen,Erledigt,Nicht relevant"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2026-09-25T22:19:08Z</dcterms:created>
  <dcterms:modified xsi:type="dcterms:W3CDTF">2026-09-25T22:19:08Z</dcterms:modified>
</cp:coreProperties>
</file>